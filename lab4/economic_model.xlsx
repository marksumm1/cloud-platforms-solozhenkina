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c87455e0d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1937df9f6a34660"/>
    <x:sheet xmlns:r="http://schemas.openxmlformats.org/officeDocument/2006/relationships" name="Допущения" sheetId="2" r:id="Rfd1af21caddb4f73"/>
    <x:sheet xmlns:r="http://schemas.openxmlformats.org/officeDocument/2006/relationships" name="Расчёт" sheetId="3" r:id="R010b331df0cf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.0%"/>
  </x:numFmts>
  <x:fonts count="6">
    <x:font>
      <x:sz val="11"/>
      <x:name val="Carlito"/>
    </x:font>
    <x:font>
      <x:sz val="10"/>
      <x:color rgb="FF243449"/>
      <x:name val="Arial"/>
    </x:font>
    <x:font>
      <x:b/>
      <x:sz val="15"/>
      <x:color rgb="FF142945"/>
      <x:name val="Arial"/>
    </x:font>
    <x:font>
      <x:b/>
      <x:sz val="10"/>
      <x:color rgb="FFFFFFFF"/>
      <x:name val="Arial"/>
    </x:font>
    <x:font>
      <x:sz val="10"/>
      <x:color rgb="FF215FB0"/>
      <x:name val="Arial"/>
    </x:font>
    <x:font>
      <x:b/>
      <x:sz val="10"/>
      <x:color rgb="FF14294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4D4"/>
      </x:patternFill>
    </x:fill>
    <x:fill>
      <x:patternFill patternType="solid">
        <x:fgColor rgb="FFEFF3F8"/>
      </x:patternFill>
    </x:fill>
    <x:fill>
      <x:patternFill patternType="solid">
        <x:fgColor rgb="FFEBF1F7"/>
      </x:patternFill>
    </x:fill>
    <x:fill>
      <x:patternFill patternType="solid">
        <x:fgColor rgb="FFD9ED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1" fillId="6" borderId="0" xfId="0" applyNumberFormat="1" applyFont="1" applyFill="1" applyBorder="1"/>
    <x:xf numFmtId="201" fontId="1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4e70766ac4f94" /><Relationship Type="http://schemas.openxmlformats.org/officeDocument/2006/relationships/theme" Target="/xl/theme/theme1.xml" Id="R1925eeaf4b30468b" /><Relationship Type="http://schemas.openxmlformats.org/officeDocument/2006/relationships/sharedStrings" Target="/xl/sharedStrings.xml" Id="Rdb752f76776044ab" /><Relationship Type="http://schemas.openxmlformats.org/officeDocument/2006/relationships/worksheet" Target="/xl/worksheets/sheet1.xml" Id="Rb1937df9f6a34660" /><Relationship Type="http://schemas.openxmlformats.org/officeDocument/2006/relationships/worksheet" Target="/xl/worksheets/sheet2.xml" Id="Rfd1af21caddb4f73" /><Relationship Type="http://schemas.openxmlformats.org/officeDocument/2006/relationships/worksheet" Target="/xl/worksheets/sheet3.xml" Id="R010b331df0cf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4" hidden="0" customWidth="1"/>
    <x:col min="6" max="6" width="46" hidden="0" customWidth="1"/>
    <x:col min="7" max="7" width="20" hidden="0" customWidth="1"/>
    <x:col min="8" max="8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1" t="str">
        <x:v>Экономическая модель AI-сервиса SMM · USD</x:v>
      </x:c>
      <x:c r="B2" s="21"/>
      <x:c r="C2" s="21"/>
      <x:c r="D2" s="21"/>
      <x:c r="E2" s="1"/>
      <x:c r="F2" s="1"/>
      <x:c r="G2" s="1"/>
      <x:c r="H2" s="1"/>
    </x:row>
    <x:row r="3">
      <x:c r="A3" s="22"/>
      <x:c r="B3" s="22"/>
      <x:c r="C3" s="22"/>
      <x:c r="D3" s="22"/>
      <x:c r="E3" s="1"/>
      <x:c r="F3" s="1"/>
      <x:c r="G3" s="1"/>
      <x:c r="H3" s="1"/>
    </x:row>
    <x:row r="4" ht="27" customHeight="1">
      <x:c r="A4" s="23" t="str">
        <x:v>Показатель</x:v>
      </x:c>
      <x:c r="B4" s="23" t="str">
        <x:v>Начальный MVP</x:v>
      </x:c>
      <x:c r="C4" s="23" t="str">
        <x:v>Партнёры</x:v>
      </x:c>
      <x:c r="D4" s="23" t="str">
        <x:v>Продакшен</x:v>
      </x:c>
      <x:c r="E4" s="1"/>
      <x:c r="F4" s="1"/>
      <x:c r="G4" s="1"/>
      <x:c r="H4" s="1"/>
    </x:row>
    <x:row r="5">
      <x:c r="A5" s="22" t="str">
        <x:v>Активных пользователей (MAU)</x:v>
      </x:c>
      <x:c r="B5" s="22" t="n">
        <x:f>'Расчёт'!B5</x:f>
        <x:v>30</x:v>
      </x:c>
      <x:c r="C5" s="22" t="n">
        <x:f>'Расчёт'!C5</x:f>
        <x:v>300</x:v>
      </x:c>
      <x:c r="D5" s="22" t="n">
        <x:f>'Расчёт'!D5</x:f>
        <x:v>10000</x:v>
      </x:c>
      <x:c r="E5" s="1"/>
      <x:c r="F5" s="1"/>
      <x:c r="G5" s="1"/>
      <x:c r="H5" s="1"/>
    </x:row>
    <x:row r="6">
      <x:c r="A6" s="22" t="str">
        <x:v>Генераций в месяц</x:v>
      </x:c>
      <x:c r="B6" s="22" t="n">
        <x:f>'Расчёт'!B7</x:f>
        <x:v>450</x:v>
      </x:c>
      <x:c r="C6" s="22" t="n">
        <x:f>'Расчёт'!C7</x:f>
        <x:v>7500</x:v>
      </x:c>
      <x:c r="D6" s="22" t="n">
        <x:f>'Расчёт'!D7</x:f>
        <x:v>300000</x:v>
      </x:c>
      <x:c r="E6" s="1"/>
      <x:c r="F6" s="1"/>
      <x:c r="G6" s="1"/>
      <x:c r="H6" s="1"/>
    </x:row>
    <x:row r="7">
      <x:c r="A7" s="24" t="str">
        <x:v>Бюджет в месяц с резервом, $</x:v>
      </x:c>
      <x:c r="B7" s="25" t="n">
        <x:f>'Расчёт'!B32</x:f>
        <x:v>1.344043525</x:v>
      </x:c>
      <x:c r="C7" s="25" t="n">
        <x:f>'Расчёт'!C32</x:f>
        <x:v>20.196558749999998</x:v>
      </x:c>
      <x:c r="D7" s="25" t="n">
        <x:f>'Расчёт'!D32</x:f>
        <x:v>694.84035</x:v>
      </x:c>
      <x:c r="E7" s="1"/>
      <x:c r="F7" s="1"/>
      <x:c r="G7" s="1"/>
      <x:c r="H7" s="1"/>
    </x:row>
    <x:row r="8">
      <x:c r="A8" s="24" t="str">
        <x:v>Бюджет в год с резервом, $</x:v>
      </x:c>
      <x:c r="B8" s="25" t="n">
        <x:f>'Расчёт'!B33</x:f>
        <x:v>16.1285223</x:v>
      </x:c>
      <x:c r="C8" s="25" t="n">
        <x:f>'Расчёт'!C33</x:f>
        <x:v>242.358705</x:v>
      </x:c>
      <x:c r="D8" s="25" t="n">
        <x:f>'Расчёт'!D33</x:f>
        <x:v>8338.0842</x:v>
      </x:c>
      <x:c r="E8" s="1"/>
      <x:c r="F8" s="1"/>
      <x:c r="G8" s="1"/>
      <x:c r="H8" s="1"/>
    </x:row>
    <x:row r="9">
      <x:c r="A9" s="22" t="str">
        <x:v>Затраты на 1 000 генераций, $</x:v>
      </x:c>
      <x:c r="B9" s="26" t="n">
        <x:f>'Расчёт'!B34</x:f>
        <x:v>2.986763388888889</x:v>
      </x:c>
      <x:c r="C9" s="26" t="n">
        <x:f>'Расчёт'!C34</x:f>
        <x:v>2.6928745</x:v>
      </x:c>
      <x:c r="D9" s="26" t="n">
        <x:f>'Расчёт'!D34</x:f>
        <x:v>2.3161345</x:v>
      </x:c>
      <x:c r="E9" s="1"/>
      <x:c r="F9" s="1"/>
      <x:c r="G9" s="1"/>
      <x:c r="H9" s="1"/>
    </x:row>
    <x:row r="10">
      <x:c r="A10" s="22" t="str">
        <x:v>Доля Gemini в прямых расходах</x:v>
      </x:c>
      <x:c r="B10" s="27" t="n">
        <x:f>IF('Расчёт'!B30&gt;0,'Расчёт'!B17/'Расчёт'!B30,0)</x:f>
        <x:v>0.582361162745827</x:v>
      </x:c>
      <x:c r="C10" s="27" t="n">
        <x:f>IF('Расчёт'!C30&gt;0,'Расчёт'!C17/'Расчёт'!C30,0)</x:f>
        <x:v>0.645917587321652</x:v>
      </x:c>
      <x:c r="D10" s="27" t="n">
        <x:f>IF('Расчёт'!D30&gt;0,'Расчёт'!D17/'Расчёт'!D30,0)</x:f>
        <x:v>0.7509818622364116</x:v>
      </x:c>
      <x:c r="E10" s="1"/>
      <x:c r="F10" s="1"/>
      <x:c r="G10" s="1"/>
      <x:c r="H10" s="1"/>
    </x:row>
    <x:row r="11">
      <x:c r="A11" s="22"/>
      <x:c r="B11" s="22"/>
      <x:c r="C11" s="22"/>
      <x:c r="D11" s="22"/>
      <x:c r="E11" s="1"/>
      <x:c r="F11" s="1"/>
      <x:c r="G11" s="1"/>
      <x:c r="H11" s="1"/>
    </x:row>
    <x:row r="12">
      <x:c r="A12" s="23" t="str">
        <x:v>СТРУКТУРА РАСХОДОВ</x:v>
      </x:c>
      <x:c r="B12" s="23"/>
      <x:c r="C12" s="23"/>
      <x:c r="D12" s="23"/>
      <x:c r="E12" s="1"/>
      <x:c r="F12" s="1"/>
      <x:c r="G12" s="1"/>
      <x:c r="H12" s="1"/>
    </x:row>
    <x:row r="13">
      <x:c r="A13" s="22" t="str">
        <x:v>Gemini / токены</x:v>
      </x:c>
      <x:c r="B13" s="26" t="n">
        <x:f>'Расчёт'!B17</x:f>
        <x:v>0.6806250000000001</x:v>
      </x:c>
      <x:c r="C13" s="26" t="n">
        <x:f>'Расчёт'!C17</x:f>
        <x:v>11.34375</x:v>
      </x:c>
      <x:c r="D13" s="26" t="n">
        <x:f>'Расчёт'!D17</x:f>
        <x:v>453.75</x:v>
      </x:c>
      <x:c r="E13" s="1"/>
      <x:c r="F13" s="1"/>
      <x:c r="G13" s="1"/>
      <x:c r="H13" s="1"/>
    </x:row>
    <x:row r="14">
      <x:c r="A14" s="22" t="str">
        <x:v>Cloud Run / CPU</x:v>
      </x:c>
      <x:c r="B14" s="26" t="n">
        <x:f>'Расчёт'!B18</x:f>
        <x:v>0.09504000000000001</x:v>
      </x:c>
      <x:c r="C14" s="26" t="n">
        <x:f>'Расчёт'!C18</x:f>
        <x:v>1.584</x:v>
      </x:c>
      <x:c r="D14" s="26" t="n">
        <x:f>'Расчёт'!D18</x:f>
        <x:v>63.36</x:v>
      </x:c>
      <x:c r="E14" s="1"/>
      <x:c r="F14" s="1"/>
      <x:c r="G14" s="1"/>
      <x:c r="H14" s="1"/>
    </x:row>
    <x:row r="15">
      <x:c r="A15" s="22" t="str">
        <x:v>Cloud Run / RAM</x:v>
      </x:c>
      <x:c r="B15" s="26" t="n">
        <x:f>'Расчёт'!B19</x:f>
        <x:v>0.004950000000000001</x:v>
      </x:c>
      <x:c r="C15" s="26" t="n">
        <x:f>'Расчёт'!C19</x:f>
        <x:v>0.0825</x:v>
      </x:c>
      <x:c r="D15" s="26" t="n">
        <x:f>'Расчёт'!D19</x:f>
        <x:v>3.3000000000000003</x:v>
      </x:c>
      <x:c r="E15" s="1"/>
      <x:c r="F15" s="1"/>
      <x:c r="G15" s="1"/>
      <x:c r="H15" s="1"/>
    </x:row>
    <x:row r="16">
      <x:c r="A16" s="22" t="str">
        <x:v>Cloud Run / запросы</x:v>
      </x:c>
      <x:c r="B16" s="26" t="n">
        <x:f>'Расчёт'!B20</x:f>
        <x:v>0.0005940000000000001</x:v>
      </x:c>
      <x:c r="C16" s="26" t="n">
        <x:f>'Расчёт'!C20</x:f>
        <x:v>0.0099</x:v>
      </x:c>
      <x:c r="D16" s="26" t="n">
        <x:f>'Расчёт'!D20</x:f>
        <x:v>0.396</x:v>
      </x:c>
      <x:c r="E16" s="1"/>
      <x:c r="F16" s="1"/>
      <x:c r="G16" s="1"/>
      <x:c r="H16" s="1"/>
    </x:row>
    <x:row r="17">
      <x:c r="A17" s="22" t="str">
        <x:v>Cloud Run / min instance</x:v>
      </x:c>
      <x:c r="B17" s="26" t="n">
        <x:f>'Расчёт'!B21</x:f>
        <x:v>0</x:v>
      </x:c>
      <x:c r="C17" s="26" t="n">
        <x:f>'Расчёт'!C21</x:f>
        <x:v>0</x:v>
      </x:c>
      <x:c r="D17" s="26" t="n">
        <x:f>'Расчёт'!D21</x:f>
        <x:v>9.72</x:v>
      </x:c>
      <x:c r="E17" s="1"/>
      <x:c r="F17" s="1"/>
      <x:c r="G17" s="1"/>
      <x:c r="H17" s="1"/>
    </x:row>
    <x:row r="18">
      <x:c r="A18" s="22" t="str">
        <x:v>Firestore / чтение</x:v>
      </x:c>
      <x:c r="B18" s="26" t="n">
        <x:f>'Расчёт'!B22</x:f>
        <x:v>0.001188</x:v>
      </x:c>
      <x:c r="C18" s="26" t="n">
        <x:f>'Расчёт'!C22</x:f>
        <x:v>0.0198</x:v>
      </x:c>
      <x:c r="D18" s="26" t="n">
        <x:f>'Расчёт'!D22</x:f>
        <x:v>0.7919999999999999</x:v>
      </x:c>
      <x:c r="E18" s="1"/>
      <x:c r="F18" s="1"/>
      <x:c r="G18" s="1"/>
      <x:c r="H18" s="1"/>
    </x:row>
    <x:row r="19">
      <x:c r="A19" s="22" t="str">
        <x:v>Firestore / запись</x:v>
      </x:c>
      <x:c r="B19" s="26" t="n">
        <x:f>'Расчёт'!B23</x:f>
        <x:v>0.0013365000000000002</x:v>
      </x:c>
      <x:c r="C19" s="26" t="n">
        <x:f>'Расчёт'!C23</x:f>
        <x:v>0.022275</x:v>
      </x:c>
      <x:c r="D19" s="26" t="n">
        <x:f>'Расчёт'!D23</x:f>
        <x:v>0.891</x:v>
      </x:c>
      <x:c r="E19" s="1"/>
      <x:c r="F19" s="1"/>
      <x:c r="G19" s="1"/>
      <x:c r="H19" s="1"/>
    </x:row>
    <x:row r="20">
      <x:c r="A20" s="22" t="str">
        <x:v>Firestore / хранение</x:v>
      </x:c>
      <x:c r="B20" s="26" t="n">
        <x:f>'Расчёт'!B24</x:f>
        <x:v>0.045</x:v>
      </x:c>
      <x:c r="C20" s="26" t="n">
        <x:f>'Расчёт'!C24</x:f>
        <x:v>0.3</x:v>
      </x:c>
      <x:c r="D20" s="26" t="n">
        <x:f>'Расчёт'!D24</x:f>
        <x:v>3</x:v>
      </x:c>
      <x:c r="E20" s="1"/>
      <x:c r="F20" s="1"/>
      <x:c r="G20" s="1"/>
      <x:c r="H20" s="1"/>
    </x:row>
    <x:row r="21">
      <x:c r="A21" s="22" t="str">
        <x:v>Cloud Storage / хранение</x:v>
      </x:c>
      <x:c r="B21" s="26" t="n">
        <x:f>'Расчёт'!B25</x:f>
        <x:v>0.1</x:v>
      </x:c>
      <x:c r="C21" s="26" t="n">
        <x:f>'Расчёт'!C25</x:f>
        <x:v>0.6</x:v>
      </x:c>
      <x:c r="D21" s="26" t="n">
        <x:f>'Расчёт'!D25</x:f>
        <x:v>4</x:v>
      </x:c>
      <x:c r="E21" s="1"/>
      <x:c r="F21" s="1"/>
      <x:c r="G21" s="1"/>
      <x:c r="H21" s="1"/>
    </x:row>
    <x:row r="22">
      <x:c r="A22" s="22" t="str">
        <x:v>Интернет-трафик</x:v>
      </x:c>
      <x:c r="B22" s="26" t="n">
        <x:f>'Расчёт'!B26</x:f>
        <x:v>0.24</x:v>
      </x:c>
      <x:c r="C22" s="26" t="n">
        <x:f>'Расчёт'!C26</x:f>
        <x:v>3.5999999999999996</x:v>
      </x:c>
      <x:c r="D22" s="26" t="n">
        <x:f>'Расчёт'!D26</x:f>
        <x:v>60</x:v>
      </x:c>
      <x:c r="E22" s="1"/>
      <x:c r="F22" s="1"/>
      <x:c r="G22" s="1"/>
      <x:c r="H22" s="1"/>
    </x:row>
    <x:row r="23">
      <x:c r="A23" s="22" t="str">
        <x:v>Cloud Tasks</x:v>
      </x:c>
      <x:c r="B23" s="26" t="n">
        <x:f>'Расчёт'!B27</x:f>
        <x:v>0</x:v>
      </x:c>
      <x:c r="C23" s="26" t="n">
        <x:f>'Расчёт'!C27</x:f>
        <x:v>0</x:v>
      </x:c>
      <x:c r="D23" s="26" t="n">
        <x:f>'Расчёт'!D27</x:f>
        <x:v>0</x:v>
      </x:c>
      <x:c r="E23" s="1"/>
      <x:c r="F23" s="1"/>
      <x:c r="G23" s="1"/>
      <x:c r="H23" s="1"/>
    </x:row>
    <x:row r="24">
      <x:c r="A24" s="22" t="str">
        <x:v>Cloud Logging</x:v>
      </x:c>
      <x:c r="B24" s="26" t="n">
        <x:f>'Расчёт'!B28</x:f>
        <x:v>0</x:v>
      </x:c>
      <x:c r="C24" s="26" t="n">
        <x:f>'Расчёт'!C28</x:f>
        <x:v>0</x:v>
      </x:c>
      <x:c r="D24" s="26" t="n">
        <x:f>'Расчёт'!D28</x:f>
        <x:v>5</x:v>
      </x:c>
      <x:c r="E24" s="1"/>
      <x:c r="F24" s="1"/>
      <x:c r="G24" s="1"/>
      <x:c r="H24" s="1"/>
    </x:row>
    <x:row r="25">
      <x:c r="A25" s="22" t="str">
        <x:v>Secret Manager</x:v>
      </x:c>
      <x:c r="B25" s="26" t="n">
        <x:f>'Расчёт'!B29</x:f>
        <x:v>0</x:v>
      </x:c>
      <x:c r="C25" s="26" t="n">
        <x:f>'Расчёт'!C29</x:f>
        <x:v>0</x:v>
      </x:c>
      <x:c r="D25" s="26" t="n">
        <x:f>'Расчёт'!D29</x:f>
        <x:v>0</x:v>
      </x:c>
      <x:c r="E25" s="1"/>
      <x:c r="F25" s="1"/>
      <x:c r="G25" s="1"/>
      <x:c r="H25" s="1"/>
    </x:row>
    <x:row r="26">
      <x:c r="A26" s="22" t="str">
        <x:v>Подытог</x:v>
      </x:c>
      <x:c r="B26" s="26" t="n">
        <x:f>'Расчёт'!B30</x:f>
        <x:v>1.1687335</x:v>
      </x:c>
      <x:c r="C26" s="26" t="n">
        <x:f>'Расчёт'!C30</x:f>
        <x:v>17.562224999999998</x:v>
      </x:c>
      <x:c r="D26" s="26" t="n">
        <x:f>'Расчёт'!D30</x:f>
        <x:v>604.209</x:v>
      </x:c>
      <x:c r="E26" s="1"/>
      <x:c r="F26" s="1"/>
      <x:c r="G26" s="1"/>
      <x:c r="H26" s="1"/>
    </x:row>
    <x:row r="27">
      <x:c r="A27" s="22" t="str">
        <x:v>Резерв 15%</x:v>
      </x:c>
      <x:c r="B27" s="26" t="n">
        <x:f>'Расчёт'!B31</x:f>
        <x:v>0.175310025</x:v>
      </x:c>
      <x:c r="C27" s="26" t="n">
        <x:f>'Расчёт'!C31</x:f>
        <x:v>2.6343337499999997</x:v>
      </x:c>
      <x:c r="D27" s="26" t="n">
        <x:f>'Расчёт'!D31</x:f>
        <x:v>90.63134999999998</x:v>
      </x:c>
      <x:c r="E27" s="1"/>
      <x:c r="F27" s="1"/>
      <x:c r="G27" s="1"/>
      <x:c r="H27" s="1"/>
    </x:row>
    <x:row r="28">
      <x:c r="A28" s="28" t="str">
        <x:v>ИТОГО в месяц</x:v>
      </x:c>
      <x:c r="B28" s="29" t="n">
        <x:f>'Расчёт'!B32</x:f>
        <x:v>1.344043525</x:v>
      </x:c>
      <x:c r="C28" s="29" t="n">
        <x:f>'Расчёт'!C32</x:f>
        <x:v>20.196558749999998</x:v>
      </x:c>
      <x:c r="D28" s="29" t="n">
        <x:f>'Расчёт'!D32</x:f>
        <x:v>694.84035</x:v>
      </x:c>
      <x:c r="E28" s="1"/>
      <x:c r="F28" s="1"/>
      <x:c r="G28" s="1"/>
      <x:c r="H28" s="1"/>
    </x:row>
    <x:row r="29">
      <x:c r="A29" s="24" t="str">
        <x:v>ИТОГО за 12 месяцев</x:v>
      </x:c>
      <x:c r="B29" s="25" t="n">
        <x:f>'Расчёт'!B33</x:f>
        <x:v>16.1285223</x:v>
      </x:c>
      <x:c r="C29" s="25" t="n">
        <x:f>'Расчёт'!C33</x:f>
        <x:v>242.358705</x:v>
      </x:c>
      <x:c r="D29" s="25" t="n">
        <x:f>'Расчёт'!D33</x:f>
        <x:v>8338.0842</x:v>
      </x:c>
      <x:c r="E29" s="1"/>
      <x:c r="F29" s="1"/>
      <x:c r="G29" s="1"/>
      <x:c r="H29" s="1"/>
    </x:row>
    <x:row r="30">
      <x:c r="A30" s="22"/>
      <x:c r="B30" s="22"/>
      <x:c r="C30" s="22"/>
      <x:c r="D30" s="22"/>
      <x:c r="E30" s="1"/>
      <x:c r="F30" s="1"/>
      <x:c r="G30" s="1"/>
      <x:c r="H30" s="1"/>
    </x:row>
    <x:row r="31">
      <x:c r="A31" s="22"/>
      <x:c r="B31" s="22"/>
      <x:c r="C31" s="22"/>
      <x:c r="D31" s="22"/>
      <x:c r="E31" s="1"/>
      <x:c r="F31" s="1"/>
      <x:c r="G31" s="1"/>
      <x:c r="H31" s="1"/>
    </x:row>
    <x:row r="32">
      <x:c r="A32" s="22" t="str">
        <x:v>Прямые расходы рассчитаны без Cloud Run Free Tier — осторожный бюджет.</x:v>
      </x:c>
      <x:c r="B32" s="22"/>
      <x:c r="C32" s="22"/>
      <x:c r="D32" s="22"/>
      <x:c r="E32" s="1"/>
      <x:c r="F32" s="1"/>
      <x:c r="G32" s="1"/>
      <x:c r="H32" s="1"/>
    </x:row>
    <x:row r="33">
      <x:c r="A33" s="22" t="str">
        <x:v>Cloud Tasks и Secret Manager учтены с официальными бесплатными квотами.</x:v>
      </x:c>
      <x:c r="B33" s="22"/>
      <x:c r="C33" s="22"/>
      <x:c r="D33" s="22"/>
      <x:c r="E33" s="1"/>
      <x:c r="F33" s="1"/>
      <x:c r="G33" s="1"/>
      <x:c r="H33" s="1"/>
    </x:row>
    <x:row r="34">
      <x:c r="A34" s="22" t="str">
        <x:v>Резерв 15% — оценочное допущение, не тариф провайдера.</x:v>
      </x:c>
      <x:c r="B34" s="22"/>
      <x:c r="C34" s="22"/>
      <x:c r="D34" s="22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4" hidden="0" customWidth="1"/>
    <x:col min="6" max="6" width="46" hidden="0" customWidth="1"/>
    <x:col min="7" max="7" width="20" hidden="0" customWidth="1"/>
    <x:col min="8" max="8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1" t="str">
        <x:v>Допущения — редактируемые значения</x:v>
      </x:c>
      <x:c r="B2" s="21"/>
      <x:c r="C2" s="21"/>
      <x:c r="D2" s="21"/>
      <x:c r="E2" s="1"/>
      <x:c r="F2" s="1"/>
      <x:c r="G2" s="1"/>
      <x:c r="H2" s="1"/>
    </x:row>
    <x:row r="3">
      <x:c r="A3" s="22"/>
      <x:c r="B3" s="22"/>
      <x:c r="C3" s="22"/>
      <x:c r="D3" s="22"/>
      <x:c r="E3" s="1"/>
      <x:c r="F3" s="1"/>
      <x:c r="G3" s="1"/>
      <x:c r="H3" s="1"/>
    </x:row>
    <x:row r="4" ht="27" customHeight="1">
      <x:c r="A4" s="23" t="str">
        <x:v>Показатель</x:v>
      </x:c>
      <x:c r="B4" s="23" t="str">
        <x:v>Начальный MVP</x:v>
      </x:c>
      <x:c r="C4" s="23" t="str">
        <x:v>Партнёры</x:v>
      </x:c>
      <x:c r="D4" s="23" t="str">
        <x:v>Продакшен</x:v>
      </x:c>
      <x:c r="E4" s="1"/>
      <x:c r="F4" s="4" t="str">
        <x:v>Тариф (редактируемый)</x:v>
      </x:c>
      <x:c r="G4" s="4" t="str">
        <x:v>USD</x:v>
      </x:c>
      <x:c r="H4" s="1"/>
    </x:row>
    <x:row r="5">
      <x:c r="A5" s="22" t="str">
        <x:v>Активные пользователи (MAU)</x:v>
      </x:c>
      <x:c r="B5" s="30" t="n">
        <x:v>30</x:v>
      </x:c>
      <x:c r="C5" s="30" t="n">
        <x:v>300</x:v>
      </x:c>
      <x:c r="D5" s="30" t="n">
        <x:v>10000</x:v>
      </x:c>
      <x:c r="E5" s="1"/>
      <x:c r="F5" s="1" t="str">
        <x:v>Gemini вход / 1 млн токенов</x:v>
      </x:c>
      <x:c r="G5" s="6" t="n">
        <x:v>0.25</x:v>
      </x:c>
      <x:c r="H5" s="1"/>
    </x:row>
    <x:row r="6">
      <x:c r="A6" s="22" t="str">
        <x:v>Генераций на MAU в месяц</x:v>
      </x:c>
      <x:c r="B6" s="30" t="n">
        <x:v>15</x:v>
      </x:c>
      <x:c r="C6" s="30" t="n">
        <x:v>25</x:v>
      </x:c>
      <x:c r="D6" s="30" t="n">
        <x:v>30</x:v>
      </x:c>
      <x:c r="E6" s="1"/>
      <x:c r="F6" s="1" t="str">
        <x:v>Gemini выход / 1 млн токенов</x:v>
      </x:c>
      <x:c r="G6" s="6" t="n">
        <x:v>1.5</x:v>
      </x:c>
      <x:c r="H6" s="1"/>
    </x:row>
    <x:row r="7">
      <x:c r="A7" s="22" t="str">
        <x:v>Входных токенов на генерацию</x:v>
      </x:c>
      <x:c r="B7" s="30" t="n">
        <x:v>1000</x:v>
      </x:c>
      <x:c r="C7" s="30" t="n">
        <x:v>1000</x:v>
      </x:c>
      <x:c r="D7" s="30" t="n">
        <x:v>1000</x:v>
      </x:c>
      <x:c r="E7" s="1"/>
      <x:c r="F7" s="1" t="str">
        <x:v>Cloud Run: CPU / vCPU-с</x:v>
      </x:c>
      <x:c r="G7" s="6" t="n">
        <x:v>0.000024</x:v>
      </x:c>
      <x:c r="H7" s="1"/>
    </x:row>
    <x:row r="8">
      <x:c r="A8" s="22" t="str">
        <x:v>Выходных токенов на генерацию</x:v>
      </x:c>
      <x:c r="B8" s="30" t="n">
        <x:v>750</x:v>
      </x:c>
      <x:c r="C8" s="30" t="n">
        <x:v>750</x:v>
      </x:c>
      <x:c r="D8" s="30" t="n">
        <x:v>750</x:v>
      </x:c>
      <x:c r="E8" s="1"/>
      <x:c r="F8" s="1" t="str">
        <x:v>Cloud Run: RAM / GiB-с</x:v>
      </x:c>
      <x:c r="G8" s="6" t="n">
        <x:v>0.0000025</x:v>
      </x:c>
      <x:c r="H8" s="1"/>
    </x:row>
    <x:row r="9">
      <x:c r="A9" s="22" t="str">
        <x:v>Время Cloud Run на генерацию (с)</x:v>
      </x:c>
      <x:c r="B9" s="30" t="n">
        <x:v>8</x:v>
      </x:c>
      <x:c r="C9" s="30" t="n">
        <x:v>8</x:v>
      </x:c>
      <x:c r="D9" s="30" t="n">
        <x:v>8</x:v>
      </x:c>
      <x:c r="E9" s="1"/>
      <x:c r="F9" s="1" t="str">
        <x:v>RAM на запрос Cloud Run, GiB</x:v>
      </x:c>
      <x:c r="G9" s="6" t="n">
        <x:v>0.5</x:v>
      </x:c>
      <x:c r="H9" s="1"/>
    </x:row>
    <x:row r="10">
      <x:c r="A10" s="22" t="str">
        <x:v>Чтений Firestore на генерацию</x:v>
      </x:c>
      <x:c r="B10" s="30" t="n">
        <x:v>8</x:v>
      </x:c>
      <x:c r="C10" s="30" t="n">
        <x:v>8</x:v>
      </x:c>
      <x:c r="D10" s="30" t="n">
        <x:v>8</x:v>
      </x:c>
      <x:c r="E10" s="1"/>
      <x:c r="F10" s="1" t="str">
        <x:v>Cloud Run: запросы / 1 млн</x:v>
      </x:c>
      <x:c r="G10" s="6" t="n">
        <x:v>0.4</x:v>
      </x:c>
      <x:c r="H10" s="1"/>
    </x:row>
    <x:row r="11">
      <x:c r="A11" s="22" t="str">
        <x:v>Записей Firestore на генерацию</x:v>
      </x:c>
      <x:c r="B11" s="30" t="n">
        <x:v>3</x:v>
      </x:c>
      <x:c r="C11" s="30" t="n">
        <x:v>3</x:v>
      </x:c>
      <x:c r="D11" s="30" t="n">
        <x:v>3</x:v>
      </x:c>
      <x:c r="E11" s="1"/>
      <x:c r="F11" s="1" t="str">
        <x:v>HTTP-запросов / генерацию</x:v>
      </x:c>
      <x:c r="G11" s="6" t="n">
        <x:v>3</x:v>
      </x:c>
      <x:c r="H11" s="1"/>
    </x:row>
    <x:row r="12">
      <x:c r="A12" s="22" t="str">
        <x:v>Объём Firestore (GiB)</x:v>
      </x:c>
      <x:c r="B12" s="30" t="n">
        <x:v>0.3</x:v>
      </x:c>
      <x:c r="C12" s="30" t="n">
        <x:v>2</x:v>
      </x:c>
      <x:c r="D12" s="30" t="n">
        <x:v>20</x:v>
      </x:c>
      <x:c r="E12" s="1"/>
      <x:c r="F12" s="1" t="str">
        <x:v>Firestore чтения / 100 тыс.</x:v>
      </x:c>
      <x:c r="G12" s="6" t="n">
        <x:v>0.03</x:v>
      </x:c>
      <x:c r="H12" s="1"/>
    </x:row>
    <x:row r="13">
      <x:c r="A13" s="22" t="str">
        <x:v>Объём Storage (GiB)</x:v>
      </x:c>
      <x:c r="B13" s="30" t="n">
        <x:v>5</x:v>
      </x:c>
      <x:c r="C13" s="30" t="n">
        <x:v>30</x:v>
      </x:c>
      <x:c r="D13" s="30" t="n">
        <x:v>200</x:v>
      </x:c>
      <x:c r="E13" s="1"/>
      <x:c r="F13" s="1" t="str">
        <x:v>Firestore записи / 100 тыс.</x:v>
      </x:c>
      <x:c r="G13" s="6" t="n">
        <x:v>0.09</x:v>
      </x:c>
      <x:c r="H13" s="1"/>
    </x:row>
    <x:row r="14">
      <x:c r="A14" s="22" t="str">
        <x:v>Исходящий трафик (GiB/мес.)</x:v>
      </x:c>
      <x:c r="B14" s="30" t="n">
        <x:v>2</x:v>
      </x:c>
      <x:c r="C14" s="30" t="n">
        <x:v>30</x:v>
      </x:c>
      <x:c r="D14" s="30" t="n">
        <x:v>500</x:v>
      </x:c>
      <x:c r="E14" s="1"/>
      <x:c r="F14" s="1" t="str">
        <x:v>Firestore хранение / GiB-мес.</x:v>
      </x:c>
      <x:c r="G14" s="6" t="n">
        <x:v>0.15</x:v>
      </x:c>
      <x:c r="H14" s="1"/>
    </x:row>
    <x:row r="15">
      <x:c r="A15" s="22" t="str">
        <x:v>Логи (GiB/мес.)</x:v>
      </x:c>
      <x:c r="B15" s="30" t="n">
        <x:v>2</x:v>
      </x:c>
      <x:c r="C15" s="30" t="n">
        <x:v>10</x:v>
      </x:c>
      <x:c r="D15" s="30" t="n">
        <x:v>60</x:v>
      </x:c>
      <x:c r="E15" s="1"/>
      <x:c r="F15" s="1" t="str">
        <x:v>Storage Standard / GiB-мес.</x:v>
      </x:c>
      <x:c r="G15" s="6" t="n">
        <x:v>0.02</x:v>
      </x:c>
      <x:c r="H15" s="1"/>
    </x:row>
    <x:row r="16">
      <x:c r="A16" s="22" t="str">
        <x:v>Min instances Cloud Run</x:v>
      </x:c>
      <x:c r="B16" s="30" t="n">
        <x:v>0</x:v>
      </x:c>
      <x:c r="C16" s="30" t="n">
        <x:v>0</x:v>
      </x:c>
      <x:c r="D16" s="30" t="n">
        <x:v>1</x:v>
      </x:c>
      <x:c r="E16" s="1"/>
      <x:c r="F16" s="1" t="str">
        <x:v>Исходящий трафик / GiB</x:v>
      </x:c>
      <x:c r="G16" s="6" t="n">
        <x:v>0.12</x:v>
      </x:c>
      <x:c r="H16" s="1"/>
    </x:row>
    <x:row r="17">
      <x:c r="A17" s="22" t="str">
        <x:v>Cloud Tasks операций / генерацию</x:v>
      </x:c>
      <x:c r="B17" s="30" t="n">
        <x:v>0</x:v>
      </x:c>
      <x:c r="C17" s="30" t="n">
        <x:v>2</x:v>
      </x:c>
      <x:c r="D17" s="30" t="n">
        <x:v>2</x:v>
      </x:c>
      <x:c r="E17" s="1"/>
      <x:c r="F17" s="1" t="str">
        <x:v>Cloud Logging бесплатно GiB</x:v>
      </x:c>
      <x:c r="G17" s="6" t="n">
        <x:v>50</x:v>
      </x:c>
      <x:c r="H17" s="1"/>
    </x:row>
    <x:row r="18">
      <x:c r="A18" s="22" t="str">
        <x:v>Доп. попытки/ретраи</x:v>
      </x:c>
      <x:c r="B18" s="31" t="n">
        <x:v>0.1</x:v>
      </x:c>
      <x:c r="C18" s="31" t="n">
        <x:v>0.1</x:v>
      </x:c>
      <x:c r="D18" s="31" t="n">
        <x:v>0.1</x:v>
      </x:c>
      <x:c r="E18" s="1"/>
      <x:c r="F18" s="1" t="str">
        <x:v>Logging свыше нормы / GiB</x:v>
      </x:c>
      <x:c r="G18" s="6" t="n">
        <x:v>0.5</x:v>
      </x:c>
      <x:c r="H18" s="1"/>
    </x:row>
    <x:row r="19">
      <x:c r="A19" s="22"/>
      <x:c r="B19" s="22"/>
      <x:c r="C19" s="22"/>
      <x:c r="D19" s="22"/>
      <x:c r="E19" s="1"/>
      <x:c r="F19" s="1" t="str">
        <x:v>Cloud Tasks бесплатно операций</x:v>
      </x:c>
      <x:c r="G19" s="6" t="n">
        <x:v>1000000</x:v>
      </x:c>
      <x:c r="H19" s="1"/>
    </x:row>
    <x:row r="20">
      <x:c r="A20" s="22" t="str">
        <x:v>Оранжевые / синие числа — редактируемые допущения.</x:v>
      </x:c>
      <x:c r="B20" s="22"/>
      <x:c r="C20" s="22"/>
      <x:c r="D20" s="22"/>
      <x:c r="E20" s="1"/>
      <x:c r="F20" s="1" t="str">
        <x:v>Tasks свыше нормы / 1 млн</x:v>
      </x:c>
      <x:c r="G20" s="6" t="n">
        <x:v>0.4</x:v>
      </x:c>
      <x:c r="H20" s="1"/>
    </x:row>
    <x:row r="21">
      <x:c r="A21" s="22"/>
      <x:c r="B21" s="22"/>
      <x:c r="C21" s="22"/>
      <x:c r="D21" s="22"/>
      <x:c r="E21" s="1"/>
      <x:c r="F21" s="1" t="str">
        <x:v>Cloud Run idle CPU / vCPU-с</x:v>
      </x:c>
      <x:c r="G21" s="6" t="n">
        <x:v>0.0000025</x:v>
      </x:c>
      <x:c r="H21" s="1"/>
    </x:row>
    <x:row r="22">
      <x:c r="A22" s="22"/>
      <x:c r="B22" s="22"/>
      <x:c r="C22" s="22"/>
      <x:c r="D22" s="22"/>
      <x:c r="E22" s="1"/>
      <x:c r="F22" s="1" t="str">
        <x:v>Cloud Run idle RAM / GiB-с</x:v>
      </x:c>
      <x:c r="G22" s="6" t="n">
        <x:v>0.0000025</x:v>
      </x:c>
      <x:c r="H22" s="1"/>
    </x:row>
    <x:row r="23">
      <x:c r="A23" s="22"/>
      <x:c r="B23" s="22"/>
      <x:c r="C23" s="22"/>
      <x:c r="D23" s="22"/>
      <x:c r="E23" s="1"/>
      <x:c r="F23" s="1" t="str">
        <x:v>Секунд в месяце (30 дней)</x:v>
      </x:c>
      <x:c r="G23" s="6" t="n">
        <x:v>2592000</x:v>
      </x:c>
      <x:c r="H23" s="1"/>
    </x:row>
    <x:row r="24">
      <x:c r="A24" s="22"/>
      <x:c r="B24" s="22"/>
      <x:c r="C24" s="22"/>
      <x:c r="D24" s="22"/>
      <x:c r="E24" s="1"/>
      <x:c r="F24" s="1" t="str">
        <x:v>Резерв на погрешности</x:v>
      </x:c>
      <x:c r="G24" s="7" t="n">
        <x:v>0.15</x:v>
      </x:c>
      <x:c r="H24" s="1"/>
    </x:row>
    <x:row r="25">
      <x:c r="A25" s="22"/>
      <x:c r="B25" s="22"/>
      <x:c r="C25" s="22"/>
      <x:c r="D25" s="22"/>
      <x:c r="E25" s="1"/>
      <x:c r="F25" s="1" t="str">
        <x:v>Активных секретов</x:v>
      </x:c>
      <x:c r="G25" s="6" t="n">
        <x:v>2</x:v>
      </x:c>
      <x:c r="H25" s="1"/>
    </x:row>
    <x:row r="26">
      <x:c r="A26" s="22"/>
      <x:c r="B26" s="22"/>
      <x:c r="C26" s="22"/>
      <x:c r="D26" s="22"/>
      <x:c r="E26" s="1"/>
      <x:c r="F26" s="1" t="str">
        <x:v>Secret Manager бесплатно версий</x:v>
      </x:c>
      <x:c r="G26" s="6" t="n">
        <x:v>6</x:v>
      </x:c>
      <x:c r="H26" s="1"/>
    </x:row>
    <x:row r="27">
      <x:c r="A27" s="22"/>
      <x:c r="B27" s="22"/>
      <x:c r="C27" s="22"/>
      <x:c r="D27" s="22"/>
      <x:c r="E27" s="1"/>
      <x:c r="F27" s="1" t="str">
        <x:v>Secret Manager / версию</x:v>
      </x:c>
      <x:c r="G27" s="6" t="n">
        <x:v>0.06</x:v>
      </x:c>
      <x:c r="H27" s="1"/>
    </x:row>
    <x:row r="28">
      <x:c r="A28" s="22"/>
      <x:c r="B28" s="22"/>
      <x:c r="C28" s="22"/>
      <x:c r="D28" s="22"/>
      <x:c r="E28" s="1"/>
      <x:c r="F28" s="1"/>
      <x:c r="G28" s="1"/>
      <x:c r="H28" s="1"/>
    </x:row>
    <x:row r="29">
      <x:c r="A29" s="22"/>
      <x:c r="B29" s="22"/>
      <x:c r="C29" s="22"/>
      <x:c r="D29" s="22"/>
      <x:c r="E29" s="1"/>
      <x:c r="F29" s="1"/>
      <x:c r="G29" s="1"/>
      <x:c r="H29" s="1"/>
    </x:row>
    <x:row r="30">
      <x:c r="A30" s="22"/>
      <x:c r="B30" s="22"/>
      <x:c r="C30" s="22"/>
      <x:c r="D30" s="22"/>
      <x:c r="E30" s="1"/>
      <x:c r="F30" s="1" t="str">
        <x:v>Цены Google Cloud, 26.10.2026.</x:v>
      </x:c>
      <x:c r="G30" s="1"/>
      <x:c r="H30" s="1"/>
    </x:row>
    <x:row r="31">
      <x:c r="A31" s="22"/>
      <x:c r="B31" s="22"/>
      <x:c r="C31" s="22"/>
      <x:c r="D31" s="22"/>
      <x:c r="E31" s="1"/>
      <x:c r="F31" s="1" t="str">
        <x:v>MVP и пилот min=0; продакшен min=1.</x:v>
      </x:c>
      <x:c r="G31" s="1"/>
      <x:c r="H31" s="1"/>
    </x:row>
    <x:row r="32">
      <x:c r="A32" s="22"/>
      <x:c r="B32" s="22"/>
      <x:c r="C32" s="22"/>
      <x:c r="D32" s="22"/>
      <x:c r="E32" s="1"/>
      <x:c r="F32" s="1" t="str">
        <x:v>Цена Cloud Run до скидок Free Tier.</x:v>
      </x:c>
      <x:c r="G32" s="1"/>
      <x:c r="H32" s="1"/>
    </x:row>
    <x:row r="33">
      <x:c r="A33" s="22"/>
      <x:c r="B33" s="22"/>
      <x:c r="C33" s="22"/>
      <x:c r="D33" s="22"/>
      <x:c r="E33" s="1"/>
      <x:c r="F33" s="1" t="str">
        <x:v>Cloud Tasks учтён с 2 операциями/задачу.</x:v>
      </x:c>
      <x:c r="G33" s="1"/>
      <x:c r="H33" s="1"/>
    </x:row>
    <x:row r="34">
      <x:c r="A34" s="22"/>
      <x:c r="B34" s="22"/>
      <x:c r="C34" s="22"/>
      <x:c r="D34" s="22"/>
      <x:c r="E34" s="1"/>
      <x:c r="F34" s="1" t="str">
        <x:v>Модель без НДС, налогов и платных резервных копий.</x:v>
      </x:c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4" hidden="0" customWidth="1"/>
    <x:col min="6" max="6" width="46" hidden="0" customWidth="1"/>
    <x:col min="7" max="7" width="20" hidden="0" customWidth="1"/>
    <x:col min="8" max="8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1" t="str">
        <x:v>Расчёт облачных расходов · $ / месяц</x:v>
      </x:c>
      <x:c r="B2" s="21"/>
      <x:c r="C2" s="21"/>
      <x:c r="D2" s="21"/>
      <x:c r="E2" s="1"/>
      <x:c r="F2" s="1"/>
      <x:c r="G2" s="1"/>
      <x:c r="H2" s="1"/>
    </x:row>
    <x:row r="3">
      <x:c r="A3" s="22"/>
      <x:c r="B3" s="22"/>
      <x:c r="C3" s="22"/>
      <x:c r="D3" s="22"/>
      <x:c r="E3" s="1"/>
      <x:c r="F3" s="1"/>
      <x:c r="G3" s="1"/>
      <x:c r="H3" s="1"/>
    </x:row>
    <x:row r="4" ht="27" customHeight="1">
      <x:c r="A4" s="23" t="str">
        <x:v>Показатель</x:v>
      </x:c>
      <x:c r="B4" s="23" t="str">
        <x:v>Начальный MVP</x:v>
      </x:c>
      <x:c r="C4" s="23" t="str">
        <x:v>Партнёры</x:v>
      </x:c>
      <x:c r="D4" s="23" t="str">
        <x:v>Продакшен</x:v>
      </x:c>
      <x:c r="E4" s="1"/>
      <x:c r="F4" s="1"/>
      <x:c r="G4" s="1"/>
      <x:c r="H4" s="1"/>
    </x:row>
    <x:row r="5">
      <x:c r="A5" s="22" t="str">
        <x:v>Активные пользователи</x:v>
      </x:c>
      <x:c r="B5" s="22" t="n">
        <x:f>'Допущения'!B5</x:f>
        <x:v>30</x:v>
      </x:c>
      <x:c r="C5" s="22" t="n">
        <x:f>'Допущения'!C5</x:f>
        <x:v>300</x:v>
      </x:c>
      <x:c r="D5" s="22" t="n">
        <x:f>'Допущения'!D5</x:f>
        <x:v>10000</x:v>
      </x:c>
      <x:c r="E5" s="1"/>
      <x:c r="F5" s="1"/>
      <x:c r="G5" s="1"/>
      <x:c r="H5" s="1"/>
    </x:row>
    <x:row r="6">
      <x:c r="A6" s="22" t="str">
        <x:v>Генераций на пользователя</x:v>
      </x:c>
      <x:c r="B6" s="22" t="n">
        <x:f>'Допущения'!B6</x:f>
        <x:v>15</x:v>
      </x:c>
      <x:c r="C6" s="22" t="n">
        <x:f>'Допущения'!C6</x:f>
        <x:v>25</x:v>
      </x:c>
      <x:c r="D6" s="22" t="n">
        <x:f>'Допущения'!D6</x:f>
        <x:v>30</x:v>
      </x:c>
      <x:c r="E6" s="1"/>
      <x:c r="F6" s="1"/>
      <x:c r="G6" s="1"/>
      <x:c r="H6" s="1"/>
    </x:row>
    <x:row r="7">
      <x:c r="A7" s="22" t="str">
        <x:v>Пользовательских генераций</x:v>
      </x:c>
      <x:c r="B7" s="22" t="n">
        <x:f>B5*B6</x:f>
        <x:v>450</x:v>
      </x:c>
      <x:c r="C7" s="22" t="n">
        <x:f>C5*C6</x:f>
        <x:v>7500</x:v>
      </x:c>
      <x:c r="D7" s="22" t="n">
        <x:f>D5*D6</x:f>
        <x:v>300000</x:v>
      </x:c>
      <x:c r="E7" s="1"/>
      <x:c r="F7" s="1"/>
      <x:c r="G7" s="1"/>
      <x:c r="H7" s="1"/>
    </x:row>
    <x:row r="8">
      <x:c r="A8" s="22" t="str">
        <x:v>Доп. попытки</x:v>
      </x:c>
      <x:c r="B8" s="32" t="n">
        <x:f>'Допущения'!B18</x:f>
        <x:v>0.1</x:v>
      </x:c>
      <x:c r="C8" s="32" t="n">
        <x:f>'Допущения'!C18</x:f>
        <x:v>0.1</x:v>
      </x:c>
      <x:c r="D8" s="32" t="n">
        <x:f>'Допущения'!D18</x:f>
        <x:v>0.1</x:v>
      </x:c>
      <x:c r="E8" s="1"/>
      <x:c r="F8" s="1"/>
      <x:c r="G8" s="1"/>
      <x:c r="H8" s="1"/>
    </x:row>
    <x:row r="9">
      <x:c r="A9" s="22" t="str">
        <x:v>Оплачиваемых генераций</x:v>
      </x:c>
      <x:c r="B9" s="22" t="n">
        <x:f>B7*(1+B8)</x:f>
        <x:v>495.00000000000006</x:v>
      </x:c>
      <x:c r="C9" s="22" t="n">
        <x:f>C7*(1+C8)</x:f>
        <x:v>8250</x:v>
      </x:c>
      <x:c r="D9" s="22" t="n">
        <x:f>D7*(1+D8)</x:f>
        <x:v>330000</x:v>
      </x:c>
      <x:c r="E9" s="1"/>
      <x:c r="F9" s="1"/>
      <x:c r="G9" s="1"/>
      <x:c r="H9" s="1"/>
    </x:row>
    <x:row r="10">
      <x:c r="A10" s="22" t="str">
        <x:v>Токенов на входе</x:v>
      </x:c>
      <x:c r="B10" s="22" t="n">
        <x:f>B9*'Допущения'!B7</x:f>
        <x:v>495000.00000000006</x:v>
      </x:c>
      <x:c r="C10" s="22" t="n">
        <x:f>C9*'Допущения'!C7</x:f>
        <x:v>8250000</x:v>
      </x:c>
      <x:c r="D10" s="22" t="n">
        <x:f>D9*'Допущения'!D7</x:f>
        <x:v>330000000</x:v>
      </x:c>
      <x:c r="E10" s="1"/>
      <x:c r="F10" s="1"/>
      <x:c r="G10" s="1"/>
      <x:c r="H10" s="1"/>
    </x:row>
    <x:row r="11">
      <x:c r="A11" s="22" t="str">
        <x:v>Токенов на выходе</x:v>
      </x:c>
      <x:c r="B11" s="22" t="n">
        <x:f>B9*'Допущения'!B8</x:f>
        <x:v>371250.00000000006</x:v>
      </x:c>
      <x:c r="C11" s="22" t="n">
        <x:f>C9*'Допущения'!C8</x:f>
        <x:v>6187500</x:v>
      </x:c>
      <x:c r="D11" s="22" t="n">
        <x:f>D9*'Допущения'!D8</x:f>
        <x:v>247500000</x:v>
      </x:c>
      <x:c r="E11" s="1"/>
      <x:c r="F11" s="1"/>
      <x:c r="G11" s="1"/>
      <x:c r="H11" s="1"/>
    </x:row>
    <x:row r="12">
      <x:c r="A12" s="22" t="str">
        <x:v>Cloud Run: оплачиваемых секунд</x:v>
      </x:c>
      <x:c r="B12" s="22" t="n">
        <x:f>B9*'Допущения'!B9</x:f>
        <x:v>3960.0000000000005</x:v>
      </x:c>
      <x:c r="C12" s="22" t="n">
        <x:f>C9*'Допущения'!C9</x:f>
        <x:v>66000</x:v>
      </x:c>
      <x:c r="D12" s="22" t="n">
        <x:f>D9*'Допущения'!D9</x:f>
        <x:v>2640000</x:v>
      </x:c>
      <x:c r="E12" s="1"/>
      <x:c r="F12" s="1"/>
      <x:c r="G12" s="1"/>
      <x:c r="H12" s="1"/>
    </x:row>
    <x:row r="13">
      <x:c r="A13" s="22" t="str">
        <x:v>Cloud Tasks: операций</x:v>
      </x:c>
      <x:c r="B13" s="22" t="n">
        <x:f>B9*'Допущения'!B17</x:f>
        <x:v>0</x:v>
      </x:c>
      <x:c r="C13" s="22" t="n">
        <x:f>C9*'Допущения'!C17</x:f>
        <x:v>16500</x:v>
      </x:c>
      <x:c r="D13" s="22" t="n">
        <x:f>D9*'Допущения'!D17</x:f>
        <x:v>660000</x:v>
      </x:c>
      <x:c r="E13" s="1"/>
      <x:c r="F13" s="1"/>
      <x:c r="G13" s="1"/>
      <x:c r="H13" s="1"/>
    </x:row>
    <x:row r="14">
      <x:c r="A14" s="22" t="str">
        <x:v>Firestore: чтений</x:v>
      </x:c>
      <x:c r="B14" s="22" t="n">
        <x:f>B9*'Допущения'!B10</x:f>
        <x:v>3960.0000000000005</x:v>
      </x:c>
      <x:c r="C14" s="22" t="n">
        <x:f>C9*'Допущения'!C10</x:f>
        <x:v>66000</x:v>
      </x:c>
      <x:c r="D14" s="22" t="n">
        <x:f>D9*'Допущения'!D10</x:f>
        <x:v>2640000</x:v>
      </x:c>
      <x:c r="E14" s="1"/>
      <x:c r="F14" s="1"/>
      <x:c r="G14" s="1"/>
      <x:c r="H14" s="1"/>
    </x:row>
    <x:row r="15">
      <x:c r="A15" s="22" t="str">
        <x:v>Firestore: записей</x:v>
      </x:c>
      <x:c r="B15" s="22" t="n">
        <x:f>B9*'Допущения'!B11</x:f>
        <x:v>1485.0000000000002</x:v>
      </x:c>
      <x:c r="C15" s="22" t="n">
        <x:f>C9*'Допущения'!C11</x:f>
        <x:v>24750</x:v>
      </x:c>
      <x:c r="D15" s="22" t="n">
        <x:f>D9*'Допущения'!D11</x:f>
        <x:v>990000</x:v>
      </x:c>
      <x:c r="E15" s="1"/>
      <x:c r="F15" s="1"/>
      <x:c r="G15" s="1"/>
      <x:c r="H15" s="1"/>
    </x:row>
    <x:row r="16">
      <x:c r="A16" s="33"/>
      <x:c r="B16" s="33"/>
      <x:c r="C16" s="33"/>
      <x:c r="D16" s="33"/>
      <x:c r="E16" s="1"/>
      <x:c r="F16" s="1"/>
      <x:c r="G16" s="1"/>
      <x:c r="H16" s="1"/>
    </x:row>
    <x:row r="17">
      <x:c r="A17" s="22" t="str">
        <x:v>Gemini 3.1 Flash-Lite</x:v>
      </x:c>
      <x:c r="B17" s="26" t="n">
        <x:f>B10/1000000*'Допущения'!$G$5+B11/1000000*'Допущения'!$G$6</x:f>
        <x:v>0.6806250000000001</x:v>
      </x:c>
      <x:c r="C17" s="26" t="n">
        <x:f>C10/1000000*'Допущения'!$G$5+C11/1000000*'Допущения'!$G$6</x:f>
        <x:v>11.34375</x:v>
      </x:c>
      <x:c r="D17" s="26" t="n">
        <x:f>D10/1000000*'Допущения'!$G$5+D11/1000000*'Допущения'!$G$6</x:f>
        <x:v>453.75</x:v>
      </x:c>
      <x:c r="E17" s="1"/>
      <x:c r="F17" s="1"/>
      <x:c r="G17" s="1"/>
      <x:c r="H17" s="1"/>
    </x:row>
    <x:row r="18">
      <x:c r="A18" s="22" t="str">
        <x:v>Cloud Run · CPU</x:v>
      </x:c>
      <x:c r="B18" s="26" t="n">
        <x:f>B12*'Допущения'!$G$7</x:f>
        <x:v>0.09504000000000001</x:v>
      </x:c>
      <x:c r="C18" s="26" t="n">
        <x:f>C12*'Допущения'!$G$7</x:f>
        <x:v>1.584</x:v>
      </x:c>
      <x:c r="D18" s="26" t="n">
        <x:f>D12*'Допущения'!$G$7</x:f>
        <x:v>63.36</x:v>
      </x:c>
      <x:c r="E18" s="1"/>
      <x:c r="F18" s="1"/>
      <x:c r="G18" s="1"/>
      <x:c r="H18" s="1"/>
    </x:row>
    <x:row r="19">
      <x:c r="A19" s="22" t="str">
        <x:v>Cloud Run · RAM</x:v>
      </x:c>
      <x:c r="B19" s="26" t="n">
        <x:f>B12*'Допущения'!$G$9*'Допущения'!$G$8</x:f>
        <x:v>0.004950000000000001</x:v>
      </x:c>
      <x:c r="C19" s="26" t="n">
        <x:f>C12*'Допущения'!$G$9*'Допущения'!$G$8</x:f>
        <x:v>0.0825</x:v>
      </x:c>
      <x:c r="D19" s="26" t="n">
        <x:f>D12*'Допущения'!$G$9*'Допущения'!$G$8</x:f>
        <x:v>3.3000000000000003</x:v>
      </x:c>
      <x:c r="E19" s="1"/>
      <x:c r="F19" s="1"/>
      <x:c r="G19" s="1"/>
      <x:c r="H19" s="1"/>
    </x:row>
    <x:row r="20">
      <x:c r="A20" s="22" t="str">
        <x:v>Cloud Run · запросы</x:v>
      </x:c>
      <x:c r="B20" s="26" t="n">
        <x:f>B9*'Допущения'!$G$11/1000000*'Допущения'!$G$10</x:f>
        <x:v>0.0005940000000000001</x:v>
      </x:c>
      <x:c r="C20" s="26" t="n">
        <x:f>C9*'Допущения'!$G$11/1000000*'Допущения'!$G$10</x:f>
        <x:v>0.0099</x:v>
      </x:c>
      <x:c r="D20" s="26" t="n">
        <x:f>D9*'Допущения'!$G$11/1000000*'Допущения'!$G$10</x:f>
        <x:v>0.396</x:v>
      </x:c>
      <x:c r="E20" s="1"/>
      <x:c r="F20" s="1"/>
      <x:c r="G20" s="1"/>
      <x:c r="H20" s="1"/>
    </x:row>
    <x:row r="21">
      <x:c r="A21" s="22" t="str">
        <x:v>Cloud Run · min instance</x:v>
      </x:c>
      <x:c r="B21" s="26" t="n">
        <x:f>'Допущения'!B16*'Допущения'!$G$23*('Допущения'!$G$21+'Допущения'!$G$9*'Допущения'!$G$22)</x:f>
        <x:v>0</x:v>
      </x:c>
      <x:c r="C21" s="26" t="n">
        <x:f>'Допущения'!C16*'Допущения'!$G$23*('Допущения'!$G$21+'Допущения'!$G$9*'Допущения'!$G$22)</x:f>
        <x:v>0</x:v>
      </x:c>
      <x:c r="D21" s="26" t="n">
        <x:f>'Допущения'!D16*'Допущения'!$G$23*('Допущения'!$G$21+'Допущения'!$G$9*'Допущения'!$G$22)</x:f>
        <x:v>9.72</x:v>
      </x:c>
      <x:c r="E21" s="1"/>
      <x:c r="F21" s="1"/>
      <x:c r="G21" s="1"/>
      <x:c r="H21" s="1"/>
    </x:row>
    <x:row r="22">
      <x:c r="A22" s="22" t="str">
        <x:v>Firestore · чтение</x:v>
      </x:c>
      <x:c r="B22" s="26" t="n">
        <x:f>B14/100000*'Допущения'!$G$12</x:f>
        <x:v>0.001188</x:v>
      </x:c>
      <x:c r="C22" s="26" t="n">
        <x:f>C14/100000*'Допущения'!$G$12</x:f>
        <x:v>0.0198</x:v>
      </x:c>
      <x:c r="D22" s="26" t="n">
        <x:f>D14/100000*'Допущения'!$G$12</x:f>
        <x:v>0.7919999999999999</x:v>
      </x:c>
      <x:c r="E22" s="1"/>
      <x:c r="F22" s="1"/>
      <x:c r="G22" s="1"/>
      <x:c r="H22" s="1"/>
    </x:row>
    <x:row r="23">
      <x:c r="A23" s="22" t="str">
        <x:v>Firestore · запись</x:v>
      </x:c>
      <x:c r="B23" s="26" t="n">
        <x:f>B15/100000*'Допущения'!$G$13</x:f>
        <x:v>0.0013365000000000002</x:v>
      </x:c>
      <x:c r="C23" s="26" t="n">
        <x:f>C15/100000*'Допущения'!$G$13</x:f>
        <x:v>0.022275</x:v>
      </x:c>
      <x:c r="D23" s="26" t="n">
        <x:f>D15/100000*'Допущения'!$G$13</x:f>
        <x:v>0.891</x:v>
      </x:c>
      <x:c r="E23" s="1"/>
      <x:c r="F23" s="1"/>
      <x:c r="G23" s="1"/>
      <x:c r="H23" s="1"/>
    </x:row>
    <x:row r="24">
      <x:c r="A24" s="22" t="str">
        <x:v>Firestore · объём</x:v>
      </x:c>
      <x:c r="B24" s="26" t="n">
        <x:f>'Допущения'!B12*'Допущения'!$G$14</x:f>
        <x:v>0.045</x:v>
      </x:c>
      <x:c r="C24" s="26" t="n">
        <x:f>'Допущения'!C12*'Допущения'!$G$14</x:f>
        <x:v>0.3</x:v>
      </x:c>
      <x:c r="D24" s="26" t="n">
        <x:f>'Допущения'!D12*'Допущения'!$G$14</x:f>
        <x:v>3</x:v>
      </x:c>
      <x:c r="E24" s="1"/>
      <x:c r="F24" s="1"/>
      <x:c r="G24" s="1"/>
      <x:c r="H24" s="1"/>
    </x:row>
    <x:row r="25">
      <x:c r="A25" s="22" t="str">
        <x:v>Cloud Storage · объём</x:v>
      </x:c>
      <x:c r="B25" s="26" t="n">
        <x:f>'Допущения'!B13*'Допущения'!$G$15</x:f>
        <x:v>0.1</x:v>
      </x:c>
      <x:c r="C25" s="26" t="n">
        <x:f>'Допущения'!C13*'Допущения'!$G$15</x:f>
        <x:v>0.6</x:v>
      </x:c>
      <x:c r="D25" s="26" t="n">
        <x:f>'Допущения'!D13*'Допущения'!$G$15</x:f>
        <x:v>4</x:v>
      </x:c>
      <x:c r="E25" s="1"/>
      <x:c r="F25" s="1"/>
      <x:c r="G25" s="1"/>
      <x:c r="H25" s="1"/>
    </x:row>
    <x:row r="26">
      <x:c r="A26" s="22" t="str">
        <x:v>Интернет-трафик</x:v>
      </x:c>
      <x:c r="B26" s="26" t="n">
        <x:f>'Допущения'!B14*'Допущения'!$G$16</x:f>
        <x:v>0.24</x:v>
      </x:c>
      <x:c r="C26" s="26" t="n">
        <x:f>'Допущения'!C14*'Допущения'!$G$16</x:f>
        <x:v>3.5999999999999996</x:v>
      </x:c>
      <x:c r="D26" s="26" t="n">
        <x:f>'Допущения'!D14*'Допущения'!$G$16</x:f>
        <x:v>60</x:v>
      </x:c>
      <x:c r="E26" s="1"/>
      <x:c r="F26" s="1"/>
      <x:c r="G26" s="1"/>
      <x:c r="H26" s="1"/>
    </x:row>
    <x:row r="27">
      <x:c r="A27" s="22" t="str">
        <x:v>Cloud Tasks</x:v>
      </x:c>
      <x:c r="B27" s="26" t="n">
        <x:f>MAX(0,B13-'Допущения'!$G$19)/1000000*'Допущения'!$G$20</x:f>
        <x:v>0</x:v>
      </x:c>
      <x:c r="C27" s="26" t="n">
        <x:f>MAX(0,C13-'Допущения'!$G$19)/1000000*'Допущения'!$G$20</x:f>
        <x:v>0</x:v>
      </x:c>
      <x:c r="D27" s="26" t="n">
        <x:f>MAX(0,D13-'Допущения'!$G$19)/1000000*'Допущения'!$G$20</x:f>
        <x:v>0</x:v>
      </x:c>
      <x:c r="E27" s="1"/>
      <x:c r="F27" s="1"/>
      <x:c r="G27" s="1"/>
      <x:c r="H27" s="1"/>
    </x:row>
    <x:row r="28">
      <x:c r="A28" s="22" t="str">
        <x:v>Cloud Logging</x:v>
      </x:c>
      <x:c r="B28" s="26" t="n">
        <x:f>MAX(0,'Допущения'!B15-'Допущения'!$G$17)*'Допущения'!$G$18</x:f>
        <x:v>0</x:v>
      </x:c>
      <x:c r="C28" s="26" t="n">
        <x:f>MAX(0,'Допущения'!C15-'Допущения'!$G$17)*'Допущения'!$G$18</x:f>
        <x:v>0</x:v>
      </x:c>
      <x:c r="D28" s="26" t="n">
        <x:f>MAX(0,'Допущения'!D15-'Допущения'!$G$17)*'Допущения'!$G$18</x:f>
        <x:v>5</x:v>
      </x:c>
      <x:c r="E28" s="1"/>
      <x:c r="F28" s="1"/>
      <x:c r="G28" s="1"/>
      <x:c r="H28" s="1"/>
    </x:row>
    <x:row r="29">
      <x:c r="A29" s="22" t="str">
        <x:v>Secret Manager</x:v>
      </x:c>
      <x:c r="B29" s="26" t="n">
        <x:f>MAX(0,'Допущения'!$G$25-'Допущения'!$G$26)*'Допущения'!$G$27</x:f>
        <x:v>0</x:v>
      </x:c>
      <x:c r="C29" s="26" t="n">
        <x:f>MAX(0,'Допущения'!$G$25-'Допущения'!$G$26)*'Допущения'!$G$27</x:f>
        <x:v>0</x:v>
      </x:c>
      <x:c r="D29" s="26" t="n">
        <x:f>MAX(0,'Допущения'!$G$25-'Допущения'!$G$26)*'Допущения'!$G$27</x:f>
        <x:v>0</x:v>
      </x:c>
      <x:c r="E29" s="1"/>
      <x:c r="F29" s="1"/>
      <x:c r="G29" s="1"/>
      <x:c r="H29" s="1"/>
    </x:row>
    <x:row r="30">
      <x:c r="A30" s="24" t="str">
        <x:v>Подытог до резерва</x:v>
      </x:c>
      <x:c r="B30" s="25" t="n">
        <x:f>SUM(B17:B29)</x:f>
        <x:v>1.1687335</x:v>
      </x:c>
      <x:c r="C30" s="25" t="n">
        <x:f>SUM(C17:C29)</x:f>
        <x:v>17.562224999999998</x:v>
      </x:c>
      <x:c r="D30" s="25" t="n">
        <x:f>SUM(D17:D29)</x:f>
        <x:v>604.209</x:v>
      </x:c>
      <x:c r="E30" s="1"/>
      <x:c r="F30" s="1"/>
      <x:c r="G30" s="1"/>
      <x:c r="H30" s="1"/>
    </x:row>
    <x:row r="31">
      <x:c r="A31" s="22" t="str">
        <x:v>Резерв 15%</x:v>
      </x:c>
      <x:c r="B31" s="26" t="n">
        <x:f>B30*'Допущения'!$G$24</x:f>
        <x:v>0.175310025</x:v>
      </x:c>
      <x:c r="C31" s="26" t="n">
        <x:f>C30*'Допущения'!$G$24</x:f>
        <x:v>2.6343337499999997</x:v>
      </x:c>
      <x:c r="D31" s="26" t="n">
        <x:f>D30*'Допущения'!$G$24</x:f>
        <x:v>90.63134999999998</x:v>
      </x:c>
      <x:c r="E31" s="1"/>
      <x:c r="F31" s="1"/>
      <x:c r="G31" s="1"/>
      <x:c r="H31" s="1"/>
    </x:row>
    <x:row r="32">
      <x:c r="A32" s="28" t="str">
        <x:v>ИТОГО / месяц</x:v>
      </x:c>
      <x:c r="B32" s="29" t="n">
        <x:f>SUM(B30:B31)</x:f>
        <x:v>1.344043525</x:v>
      </x:c>
      <x:c r="C32" s="29" t="n">
        <x:f>SUM(C30:C31)</x:f>
        <x:v>20.196558749999998</x:v>
      </x:c>
      <x:c r="D32" s="29" t="n">
        <x:f>SUM(D30:D31)</x:f>
        <x:v>694.84035</x:v>
      </x:c>
      <x:c r="E32" s="1"/>
      <x:c r="F32" s="1"/>
      <x:c r="G32" s="1"/>
      <x:c r="H32" s="1"/>
    </x:row>
    <x:row r="33">
      <x:c r="A33" s="24" t="str">
        <x:v>ИТОГО / год</x:v>
      </x:c>
      <x:c r="B33" s="25" t="n">
        <x:f>B32*12</x:f>
        <x:v>16.1285223</x:v>
      </x:c>
      <x:c r="C33" s="25" t="n">
        <x:f>C32*12</x:f>
        <x:v>242.358705</x:v>
      </x:c>
      <x:c r="D33" s="25" t="n">
        <x:f>D32*12</x:f>
        <x:v>8338.0842</x:v>
      </x:c>
      <x:c r="E33" s="1"/>
      <x:c r="F33" s="1"/>
      <x:c r="G33" s="1"/>
      <x:c r="H33" s="1"/>
    </x:row>
    <x:row r="34">
      <x:c r="A34" s="24" t="str">
        <x:v>Стоимость 1 000 генераций</x:v>
      </x:c>
      <x:c r="B34" s="25" t="n">
        <x:f>IF(B7&gt;0,B32/B7*1000,0)</x:f>
        <x:v>2.986763388888889</x:v>
      </x:c>
      <x:c r="C34" s="25" t="n">
        <x:f>IF(C7&gt;0,C32/C7*1000,0)</x:f>
        <x:v>2.6928745</x:v>
      </x:c>
      <x:c r="D34" s="25" t="n">
        <x:f>IF(D7&gt;0,D32/D7*1000,0)</x:f>
        <x:v>2.3161345</x:v>
      </x:c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pageMargins left="0.7" right="0.7" top="0.75" bottom="0.75" header="0.3" footer="0.3"/>
</x:worksheet>
</file>